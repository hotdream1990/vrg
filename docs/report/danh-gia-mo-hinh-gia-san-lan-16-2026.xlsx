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Work/biz-project/VRG/docs/report/"/>
    </mc:Choice>
  </mc:AlternateContent>
  <xr:revisionPtr revIDLastSave="0" documentId="13_ncr:1_{46DDE872-8E28-6445-B7A9-E8D114C5D9FF}" xr6:coauthVersionLast="47" xr6:coauthVersionMax="47" xr10:uidLastSave="{00000000-0000-0000-0000-000000000000}"/>
  <bookViews>
    <workbookView xWindow="-27880" yWindow="3500" windowWidth="29240" windowHeight="18980" xr2:uid="{00000000-000D-0000-FFFF-FFFF00000000}"/>
  </bookViews>
  <sheets>
    <sheet name="Đối chiếu mô hì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I19" i="1"/>
  <c r="J19" i="1"/>
  <c r="L19" i="1"/>
  <c r="M19" i="1"/>
  <c r="F19" i="1"/>
  <c r="L18" i="1"/>
  <c r="M18" i="1" s="1"/>
  <c r="I18" i="1"/>
  <c r="J18" i="1" s="1"/>
  <c r="F18" i="1"/>
  <c r="G18" i="1" s="1"/>
  <c r="D18" i="1"/>
  <c r="L17" i="1"/>
  <c r="M17" i="1" s="1"/>
  <c r="I17" i="1"/>
  <c r="J17" i="1" s="1"/>
  <c r="F17" i="1"/>
  <c r="G17" i="1" s="1"/>
  <c r="D17" i="1"/>
  <c r="L16" i="1"/>
  <c r="M16" i="1" s="1"/>
  <c r="I16" i="1"/>
  <c r="J16" i="1" s="1"/>
  <c r="F16" i="1"/>
  <c r="G16" i="1" s="1"/>
  <c r="D16" i="1"/>
  <c r="L15" i="1"/>
  <c r="M15" i="1" s="1"/>
  <c r="I15" i="1"/>
  <c r="J15" i="1" s="1"/>
  <c r="F15" i="1"/>
  <c r="G15" i="1" s="1"/>
  <c r="D15" i="1"/>
  <c r="L14" i="1"/>
  <c r="M14" i="1" s="1"/>
  <c r="I14" i="1"/>
  <c r="J14" i="1" s="1"/>
  <c r="F14" i="1"/>
  <c r="G14" i="1" s="1"/>
  <c r="D14" i="1"/>
  <c r="L13" i="1"/>
  <c r="M13" i="1" s="1"/>
  <c r="I13" i="1"/>
  <c r="J13" i="1" s="1"/>
  <c r="F13" i="1"/>
  <c r="G13" i="1" s="1"/>
  <c r="D13" i="1"/>
  <c r="L12" i="1"/>
  <c r="M12" i="1" s="1"/>
  <c r="I12" i="1"/>
  <c r="J12" i="1" s="1"/>
  <c r="F12" i="1"/>
  <c r="G12" i="1" s="1"/>
  <c r="D12" i="1"/>
  <c r="L11" i="1"/>
  <c r="M11" i="1" s="1"/>
  <c r="I11" i="1"/>
  <c r="J11" i="1" s="1"/>
  <c r="F11" i="1"/>
  <c r="G11" i="1" s="1"/>
  <c r="D11" i="1"/>
  <c r="L10" i="1"/>
  <c r="M10" i="1" s="1"/>
  <c r="I10" i="1"/>
  <c r="J10" i="1" s="1"/>
  <c r="F10" i="1"/>
  <c r="G10" i="1" s="1"/>
  <c r="D10" i="1"/>
  <c r="L9" i="1"/>
  <c r="M9" i="1" s="1"/>
  <c r="I9" i="1"/>
  <c r="J9" i="1" s="1"/>
  <c r="F9" i="1"/>
  <c r="G9" i="1" s="1"/>
  <c r="D9" i="1"/>
  <c r="L8" i="1"/>
  <c r="M8" i="1" s="1"/>
  <c r="I8" i="1"/>
  <c r="J8" i="1" s="1"/>
  <c r="F8" i="1"/>
  <c r="G8" i="1" s="1"/>
  <c r="D8" i="1"/>
  <c r="L7" i="1"/>
  <c r="M7" i="1" s="1"/>
  <c r="I7" i="1"/>
  <c r="J7" i="1" s="1"/>
  <c r="F7" i="1"/>
  <c r="G7" i="1" s="1"/>
  <c r="D7" i="1"/>
  <c r="L6" i="1"/>
  <c r="I6" i="1"/>
  <c r="F6" i="1"/>
  <c r="D6" i="1"/>
  <c r="B23" i="1" l="1"/>
  <c r="C23" i="1"/>
  <c r="D23" i="1"/>
  <c r="G6" i="1"/>
  <c r="B26" i="1"/>
  <c r="C26" i="1"/>
  <c r="J6" i="1"/>
  <c r="D26" i="1"/>
  <c r="B27" i="1"/>
  <c r="M6" i="1"/>
  <c r="C27" i="1"/>
  <c r="D27" i="1"/>
  <c r="D29" i="1" l="1"/>
  <c r="D24" i="1"/>
  <c r="D25" i="1" s="1"/>
  <c r="D28" i="1"/>
  <c r="C29" i="1"/>
  <c r="C24" i="1"/>
  <c r="C25" i="1" s="1"/>
  <c r="C28" i="1"/>
  <c r="B29" i="1"/>
  <c r="B24" i="1"/>
  <c r="B25" i="1" s="1"/>
  <c r="B28" i="1"/>
</calcChain>
</file>

<file path=xl/sharedStrings.xml><?xml version="1.0" encoding="utf-8"?>
<sst xmlns="http://schemas.openxmlformats.org/spreadsheetml/2006/main" count="45" uniqueCount="36">
  <si>
    <t>ĐÁNH GIÁ ĐỘ CHÍNH XÁC MÔ HÌNH DỰ BÁO GIÁ SÀN</t>
  </si>
  <si>
    <t>Giá sàn điều chỉnh lần 16/2026  ·  ngày 09/07/2026  ·  Tỷ giá VCB mua CK: 26.111  ·  Đơn vị: USD/tấn (FOB)</t>
  </si>
  <si>
    <t>Chủng loại</t>
  </si>
  <si>
    <t>GIÁ THỰC TẾ (DỰ THẢO)</t>
  </si>
  <si>
    <t>M1 · Đa biến + mủ nước</t>
  </si>
  <si>
    <t>M2 · Rổ 4 futures</t>
  </si>
  <si>
    <t>M3 · Rổ + Tồn kho tổng</t>
  </si>
  <si>
    <t>Giá sàn
lần trước</t>
  </si>
  <si>
    <t>Điều chỉnh
thực tế</t>
  </si>
  <si>
    <t>Δ thực tế</t>
  </si>
  <si>
    <t>Gợi ý</t>
  </si>
  <si>
    <t>Độ lệch</t>
  </si>
  <si>
    <t>% lệch</t>
  </si>
  <si>
    <t>SVR CV 50</t>
  </si>
  <si>
    <t>SVR CV 60</t>
  </si>
  <si>
    <t>SVR L</t>
  </si>
  <si>
    <t>SVR 3L Mix</t>
  </si>
  <si>
    <t>SVR 3L</t>
  </si>
  <si>
    <t>SVR 5S</t>
  </si>
  <si>
    <t>SVR 5</t>
  </si>
  <si>
    <t>SVR 10 Mix</t>
  </si>
  <si>
    <t>SVR 10</t>
  </si>
  <si>
    <t>SVR 20</t>
  </si>
  <si>
    <t>RSS 3</t>
  </si>
  <si>
    <t>RSS 1</t>
  </si>
  <si>
    <t>Latex</t>
  </si>
  <si>
    <t>TỔNG HỢP THEO MÔ HÌNH</t>
  </si>
  <si>
    <t>Chỉ số</t>
  </si>
  <si>
    <t>Sai số tuyệt đối TB — MAE (USD/tấn)</t>
  </si>
  <si>
    <t>MAPE — TB % lệch tuyệt đối</t>
  </si>
  <si>
    <t>Độ chính xác (100% − MAPE)</t>
  </si>
  <si>
    <t>Độ lệch lớn nhất (USD/tấn)</t>
  </si>
  <si>
    <t>Xu hướng lệch TB — bias (USD/tấn)</t>
  </si>
  <si>
    <t>Số loại trúng trong ±1%</t>
  </si>
  <si>
    <t>Số loại trúng trong ±2%</t>
  </si>
  <si>
    <t>Sai số tổng: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</si>
</sst>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+#,##0;\-#,##0;0"/>
    <numFmt numFmtId="165" formatCode="\+0.00%;\-0.00%;0.00%"/>
    <numFmt numFmtId="166" formatCode="#,##0.0"/>
    <numFmt numFmtId="167" formatCode="\+#,##0.0;\-#,##0.0;0.0"/>
    <numFmt numFmtId="168" formatCode="0&quot; / 13&quot;"/>
  </numFmts>
  <fonts count="9" x14ac:knownFonts="1">
    <font>
      <sz val="11"/>
      <color theme="1"/>
      <name val="Calibri"/>
      <family val="2"/>
      <scheme val="minor"/>
    </font>
    <font>
      <b/>
      <sz val="15"/>
      <color rgb="FF2E7D32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2"/>
      <color rgb="FF2E7D32"/>
      <name val="Arial"/>
      <family val="2"/>
    </font>
    <font>
      <b/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37474F"/>
      </patternFill>
    </fill>
    <fill>
      <patternFill patternType="solid">
        <fgColor rgb="FFB26A00"/>
      </patternFill>
    </fill>
    <fill>
      <patternFill patternType="solid">
        <fgColor rgb="FF1565C0"/>
      </patternFill>
    </fill>
    <fill>
      <patternFill patternType="solid">
        <fgColor rgb="FFF2F2F2"/>
      </patternFill>
    </fill>
    <fill>
      <patternFill patternType="solid">
        <fgColor rgb="FFE8F0E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3" fontId="8" fillId="8" borderId="0" xfId="0" applyNumberFormat="1" applyFont="1" applyFill="1" applyBorder="1" applyAlignment="1">
      <alignment horizontal="center" vertical="center"/>
    </xf>
    <xf numFmtId="164" fontId="4" fillId="8" borderId="0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I26" sqref="I26"/>
    </sheetView>
  </sheetViews>
  <sheetFormatPr baseColWidth="10" defaultColWidth="8.83203125" defaultRowHeight="15" x14ac:dyDescent="0.2"/>
  <cols>
    <col min="1" max="1" width="29.6640625" bestFit="1" customWidth="1"/>
    <col min="2" max="3" width="11" customWidth="1"/>
    <col min="4" max="4" width="10" customWidth="1"/>
    <col min="5" max="13" width="9" customWidth="1"/>
  </cols>
  <sheetData>
    <row r="1" spans="1:13" ht="19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4" spans="1:13" ht="28" customHeight="1" x14ac:dyDescent="0.2">
      <c r="A4" s="18" t="s">
        <v>2</v>
      </c>
      <c r="B4" s="21" t="s">
        <v>3</v>
      </c>
      <c r="C4" s="19"/>
      <c r="D4" s="19"/>
      <c r="E4" s="18" t="s">
        <v>4</v>
      </c>
      <c r="F4" s="19"/>
      <c r="G4" s="19"/>
      <c r="H4" s="22" t="s">
        <v>5</v>
      </c>
      <c r="I4" s="19"/>
      <c r="J4" s="19"/>
      <c r="K4" s="20" t="s">
        <v>6</v>
      </c>
      <c r="L4" s="19"/>
      <c r="M4" s="19"/>
    </row>
    <row r="5" spans="1:13" ht="26" customHeight="1" x14ac:dyDescent="0.2">
      <c r="A5" s="19"/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10</v>
      </c>
      <c r="I5" s="1" t="s">
        <v>11</v>
      </c>
      <c r="J5" s="1" t="s">
        <v>12</v>
      </c>
      <c r="K5" s="1" t="s">
        <v>10</v>
      </c>
      <c r="L5" s="1" t="s">
        <v>11</v>
      </c>
      <c r="M5" s="1" t="s">
        <v>12</v>
      </c>
    </row>
    <row r="6" spans="1:13" x14ac:dyDescent="0.2">
      <c r="A6" s="2" t="s">
        <v>13</v>
      </c>
      <c r="B6" s="3">
        <v>2470</v>
      </c>
      <c r="C6" s="3">
        <v>2430</v>
      </c>
      <c r="D6" s="4">
        <f t="shared" ref="D6:D18" si="0">C6-B6</f>
        <v>-40</v>
      </c>
      <c r="E6" s="3">
        <v>2451</v>
      </c>
      <c r="F6" s="4">
        <f t="shared" ref="F6:F18" si="1">E6-C6</f>
        <v>21</v>
      </c>
      <c r="G6" s="5">
        <f t="shared" ref="G6:G18" si="2">F6/C6</f>
        <v>8.6419753086419745E-3</v>
      </c>
      <c r="H6" s="3">
        <v>2382</v>
      </c>
      <c r="I6" s="4">
        <f t="shared" ref="I6:I18" si="3">H6-C6</f>
        <v>-48</v>
      </c>
      <c r="J6" s="5">
        <f t="shared" ref="J6:J18" si="4">I6/C6</f>
        <v>-1.9753086419753086E-2</v>
      </c>
      <c r="K6" s="3">
        <v>2423</v>
      </c>
      <c r="L6" s="4">
        <f t="shared" ref="L6:L18" si="5">K6-C6</f>
        <v>-7</v>
      </c>
      <c r="M6" s="5">
        <f t="shared" ref="M6:M18" si="6">L6/C6</f>
        <v>-2.8806584362139919E-3</v>
      </c>
    </row>
    <row r="7" spans="1:13" x14ac:dyDescent="0.2">
      <c r="A7" s="6" t="s">
        <v>14</v>
      </c>
      <c r="B7" s="7">
        <v>2450</v>
      </c>
      <c r="C7" s="7">
        <v>2410</v>
      </c>
      <c r="D7" s="8">
        <f t="shared" si="0"/>
        <v>-40</v>
      </c>
      <c r="E7" s="7">
        <v>2434</v>
      </c>
      <c r="F7" s="8">
        <f t="shared" si="1"/>
        <v>24</v>
      </c>
      <c r="G7" s="9">
        <f t="shared" si="2"/>
        <v>9.9585062240663894E-3</v>
      </c>
      <c r="H7" s="7">
        <v>2361</v>
      </c>
      <c r="I7" s="8">
        <f t="shared" si="3"/>
        <v>-49</v>
      </c>
      <c r="J7" s="9">
        <f t="shared" si="4"/>
        <v>-2.033195020746888E-2</v>
      </c>
      <c r="K7" s="7">
        <v>2403</v>
      </c>
      <c r="L7" s="8">
        <f t="shared" si="5"/>
        <v>-7</v>
      </c>
      <c r="M7" s="9">
        <f t="shared" si="6"/>
        <v>-2.9045643153526972E-3</v>
      </c>
    </row>
    <row r="8" spans="1:13" x14ac:dyDescent="0.2">
      <c r="A8" s="2" t="s">
        <v>15</v>
      </c>
      <c r="B8" s="3">
        <v>2420</v>
      </c>
      <c r="C8" s="3">
        <v>2380</v>
      </c>
      <c r="D8" s="4">
        <f t="shared" si="0"/>
        <v>-40</v>
      </c>
      <c r="E8" s="3">
        <v>2406</v>
      </c>
      <c r="F8" s="4">
        <f t="shared" si="1"/>
        <v>26</v>
      </c>
      <c r="G8" s="5">
        <f t="shared" si="2"/>
        <v>1.0924369747899159E-2</v>
      </c>
      <c r="H8" s="3">
        <v>2307</v>
      </c>
      <c r="I8" s="4">
        <f t="shared" si="3"/>
        <v>-73</v>
      </c>
      <c r="J8" s="5">
        <f t="shared" si="4"/>
        <v>-3.0672268907563024E-2</v>
      </c>
      <c r="K8" s="3">
        <v>2370</v>
      </c>
      <c r="L8" s="4">
        <f t="shared" si="5"/>
        <v>-10</v>
      </c>
      <c r="M8" s="5">
        <f t="shared" si="6"/>
        <v>-4.2016806722689074E-3</v>
      </c>
    </row>
    <row r="9" spans="1:13" x14ac:dyDescent="0.2">
      <c r="A9" s="6" t="s">
        <v>16</v>
      </c>
      <c r="B9" s="7">
        <v>2425</v>
      </c>
      <c r="C9" s="7">
        <v>2385</v>
      </c>
      <c r="D9" s="8">
        <f t="shared" si="0"/>
        <v>-40</v>
      </c>
      <c r="E9" s="7">
        <v>2411</v>
      </c>
      <c r="F9" s="8">
        <f t="shared" si="1"/>
        <v>26</v>
      </c>
      <c r="G9" s="9">
        <f t="shared" si="2"/>
        <v>1.090146750524109E-2</v>
      </c>
      <c r="H9" s="7">
        <v>2312</v>
      </c>
      <c r="I9" s="8">
        <f t="shared" si="3"/>
        <v>-73</v>
      </c>
      <c r="J9" s="9">
        <f t="shared" si="4"/>
        <v>-3.0607966457023062E-2</v>
      </c>
      <c r="K9" s="7">
        <v>2375</v>
      </c>
      <c r="L9" s="8">
        <f t="shared" si="5"/>
        <v>-10</v>
      </c>
      <c r="M9" s="9">
        <f t="shared" si="6"/>
        <v>-4.1928721174004195E-3</v>
      </c>
    </row>
    <row r="10" spans="1:13" x14ac:dyDescent="0.2">
      <c r="A10" s="2" t="s">
        <v>17</v>
      </c>
      <c r="B10" s="3">
        <v>2410</v>
      </c>
      <c r="C10" s="3">
        <v>2370</v>
      </c>
      <c r="D10" s="4">
        <f t="shared" si="0"/>
        <v>-40</v>
      </c>
      <c r="E10" s="3">
        <v>2396</v>
      </c>
      <c r="F10" s="4">
        <f t="shared" si="1"/>
        <v>26</v>
      </c>
      <c r="G10" s="5">
        <f t="shared" si="2"/>
        <v>1.0970464135021098E-2</v>
      </c>
      <c r="H10" s="3">
        <v>2297</v>
      </c>
      <c r="I10" s="4">
        <f t="shared" si="3"/>
        <v>-73</v>
      </c>
      <c r="J10" s="5">
        <f t="shared" si="4"/>
        <v>-3.080168776371308E-2</v>
      </c>
      <c r="K10" s="3">
        <v>2360</v>
      </c>
      <c r="L10" s="4">
        <f t="shared" si="5"/>
        <v>-10</v>
      </c>
      <c r="M10" s="5">
        <f t="shared" si="6"/>
        <v>-4.2194092827004216E-3</v>
      </c>
    </row>
    <row r="11" spans="1:13" x14ac:dyDescent="0.2">
      <c r="A11" s="6" t="s">
        <v>18</v>
      </c>
      <c r="B11" s="7">
        <v>2400</v>
      </c>
      <c r="C11" s="7">
        <v>2360</v>
      </c>
      <c r="D11" s="8">
        <f t="shared" si="0"/>
        <v>-40</v>
      </c>
      <c r="E11" s="7">
        <v>2386</v>
      </c>
      <c r="F11" s="8">
        <f t="shared" si="1"/>
        <v>26</v>
      </c>
      <c r="G11" s="9">
        <f t="shared" si="2"/>
        <v>1.1016949152542373E-2</v>
      </c>
      <c r="H11" s="7">
        <v>2287</v>
      </c>
      <c r="I11" s="8">
        <f t="shared" si="3"/>
        <v>-73</v>
      </c>
      <c r="J11" s="9">
        <f t="shared" si="4"/>
        <v>-3.093220338983051E-2</v>
      </c>
      <c r="K11" s="7">
        <v>2350</v>
      </c>
      <c r="L11" s="8">
        <f t="shared" si="5"/>
        <v>-10</v>
      </c>
      <c r="M11" s="9">
        <f t="shared" si="6"/>
        <v>-4.2372881355932203E-3</v>
      </c>
    </row>
    <row r="12" spans="1:13" x14ac:dyDescent="0.2">
      <c r="A12" s="2" t="s">
        <v>19</v>
      </c>
      <c r="B12" s="3">
        <v>2390</v>
      </c>
      <c r="C12" s="3">
        <v>2350</v>
      </c>
      <c r="D12" s="4">
        <f t="shared" si="0"/>
        <v>-40</v>
      </c>
      <c r="E12" s="3">
        <v>2376</v>
      </c>
      <c r="F12" s="4">
        <f t="shared" si="1"/>
        <v>26</v>
      </c>
      <c r="G12" s="5">
        <f t="shared" si="2"/>
        <v>1.1063829787234043E-2</v>
      </c>
      <c r="H12" s="3">
        <v>2277</v>
      </c>
      <c r="I12" s="4">
        <f t="shared" si="3"/>
        <v>-73</v>
      </c>
      <c r="J12" s="5">
        <f t="shared" si="4"/>
        <v>-3.1063829787234043E-2</v>
      </c>
      <c r="K12" s="3">
        <v>2340</v>
      </c>
      <c r="L12" s="4">
        <f t="shared" si="5"/>
        <v>-10</v>
      </c>
      <c r="M12" s="5">
        <f t="shared" si="6"/>
        <v>-4.2553191489361703E-3</v>
      </c>
    </row>
    <row r="13" spans="1:13" x14ac:dyDescent="0.2">
      <c r="A13" s="6" t="s">
        <v>20</v>
      </c>
      <c r="B13" s="7">
        <v>2270</v>
      </c>
      <c r="C13" s="7">
        <v>2250</v>
      </c>
      <c r="D13" s="8">
        <f t="shared" si="0"/>
        <v>-20</v>
      </c>
      <c r="E13" s="7">
        <v>2231</v>
      </c>
      <c r="F13" s="8">
        <f t="shared" si="1"/>
        <v>-19</v>
      </c>
      <c r="G13" s="9">
        <f t="shared" si="2"/>
        <v>-8.4444444444444437E-3</v>
      </c>
      <c r="H13" s="7">
        <v>2164</v>
      </c>
      <c r="I13" s="8">
        <f t="shared" si="3"/>
        <v>-86</v>
      </c>
      <c r="J13" s="9">
        <f t="shared" si="4"/>
        <v>-3.822222222222222E-2</v>
      </c>
      <c r="K13" s="7">
        <v>2199</v>
      </c>
      <c r="L13" s="8">
        <f t="shared" si="5"/>
        <v>-51</v>
      </c>
      <c r="M13" s="9">
        <f t="shared" si="6"/>
        <v>-2.2666666666666668E-2</v>
      </c>
    </row>
    <row r="14" spans="1:13" x14ac:dyDescent="0.2">
      <c r="A14" s="2" t="s">
        <v>21</v>
      </c>
      <c r="B14" s="3">
        <v>2250</v>
      </c>
      <c r="C14" s="3">
        <v>2230</v>
      </c>
      <c r="D14" s="4">
        <f t="shared" si="0"/>
        <v>-20</v>
      </c>
      <c r="E14" s="3">
        <v>2211</v>
      </c>
      <c r="F14" s="4">
        <f t="shared" si="1"/>
        <v>-19</v>
      </c>
      <c r="G14" s="5">
        <f t="shared" si="2"/>
        <v>-8.5201793721973087E-3</v>
      </c>
      <c r="H14" s="3">
        <v>2143</v>
      </c>
      <c r="I14" s="4">
        <f t="shared" si="3"/>
        <v>-87</v>
      </c>
      <c r="J14" s="5">
        <f t="shared" si="4"/>
        <v>-3.9013452914798206E-2</v>
      </c>
      <c r="K14" s="3">
        <v>2179</v>
      </c>
      <c r="L14" s="4">
        <f t="shared" si="5"/>
        <v>-51</v>
      </c>
      <c r="M14" s="5">
        <f t="shared" si="6"/>
        <v>-2.2869955156950672E-2</v>
      </c>
    </row>
    <row r="15" spans="1:13" x14ac:dyDescent="0.2">
      <c r="A15" s="6" t="s">
        <v>22</v>
      </c>
      <c r="B15" s="7">
        <v>2230</v>
      </c>
      <c r="C15" s="7">
        <v>2210</v>
      </c>
      <c r="D15" s="8">
        <f t="shared" si="0"/>
        <v>-20</v>
      </c>
      <c r="E15" s="7">
        <v>2191</v>
      </c>
      <c r="F15" s="8">
        <f t="shared" si="1"/>
        <v>-19</v>
      </c>
      <c r="G15" s="9">
        <f t="shared" si="2"/>
        <v>-8.5972850678733038E-3</v>
      </c>
      <c r="H15" s="7">
        <v>2123</v>
      </c>
      <c r="I15" s="8">
        <f t="shared" si="3"/>
        <v>-87</v>
      </c>
      <c r="J15" s="9">
        <f t="shared" si="4"/>
        <v>-3.9366515837104071E-2</v>
      </c>
      <c r="K15" s="7">
        <v>2159</v>
      </c>
      <c r="L15" s="8">
        <f t="shared" si="5"/>
        <v>-51</v>
      </c>
      <c r="M15" s="9">
        <f t="shared" si="6"/>
        <v>-2.3076923076923078E-2</v>
      </c>
    </row>
    <row r="16" spans="1:13" x14ac:dyDescent="0.2">
      <c r="A16" s="2" t="s">
        <v>23</v>
      </c>
      <c r="B16" s="3">
        <v>2470</v>
      </c>
      <c r="C16" s="3">
        <v>2430</v>
      </c>
      <c r="D16" s="4">
        <f t="shared" si="0"/>
        <v>-40</v>
      </c>
      <c r="E16" s="3">
        <v>2435</v>
      </c>
      <c r="F16" s="4">
        <f t="shared" si="1"/>
        <v>5</v>
      </c>
      <c r="G16" s="5">
        <f t="shared" si="2"/>
        <v>2.05761316872428E-3</v>
      </c>
      <c r="H16" s="3">
        <v>2362</v>
      </c>
      <c r="I16" s="4">
        <f t="shared" si="3"/>
        <v>-68</v>
      </c>
      <c r="J16" s="5">
        <f t="shared" si="4"/>
        <v>-2.7983539094650206E-2</v>
      </c>
      <c r="K16" s="3">
        <v>2400</v>
      </c>
      <c r="L16" s="4">
        <f t="shared" si="5"/>
        <v>-30</v>
      </c>
      <c r="M16" s="5">
        <f t="shared" si="6"/>
        <v>-1.2345679012345678E-2</v>
      </c>
    </row>
    <row r="17" spans="1:13" x14ac:dyDescent="0.2">
      <c r="A17" s="6" t="s">
        <v>24</v>
      </c>
      <c r="B17" s="7">
        <v>2490</v>
      </c>
      <c r="C17" s="7">
        <v>2450</v>
      </c>
      <c r="D17" s="8">
        <f t="shared" si="0"/>
        <v>-40</v>
      </c>
      <c r="E17" s="7">
        <v>2455</v>
      </c>
      <c r="F17" s="8">
        <f t="shared" si="1"/>
        <v>5</v>
      </c>
      <c r="G17" s="9">
        <f t="shared" si="2"/>
        <v>2.0408163265306124E-3</v>
      </c>
      <c r="H17" s="7">
        <v>2382</v>
      </c>
      <c r="I17" s="8">
        <f t="shared" si="3"/>
        <v>-68</v>
      </c>
      <c r="J17" s="9">
        <f t="shared" si="4"/>
        <v>-2.7755102040816326E-2</v>
      </c>
      <c r="K17" s="7">
        <v>2420</v>
      </c>
      <c r="L17" s="8">
        <f t="shared" si="5"/>
        <v>-30</v>
      </c>
      <c r="M17" s="9">
        <f t="shared" si="6"/>
        <v>-1.2244897959183673E-2</v>
      </c>
    </row>
    <row r="18" spans="1:13" x14ac:dyDescent="0.2">
      <c r="A18" s="2" t="s">
        <v>25</v>
      </c>
      <c r="B18" s="3">
        <v>1710</v>
      </c>
      <c r="C18" s="3">
        <v>1670</v>
      </c>
      <c r="D18" s="4">
        <f t="shared" si="0"/>
        <v>-40</v>
      </c>
      <c r="E18" s="3">
        <v>1702</v>
      </c>
      <c r="F18" s="4">
        <f t="shared" si="1"/>
        <v>32</v>
      </c>
      <c r="G18" s="5">
        <f t="shared" si="2"/>
        <v>1.9161676646706587E-2</v>
      </c>
      <c r="H18" s="3">
        <v>1583</v>
      </c>
      <c r="I18" s="4">
        <f t="shared" si="3"/>
        <v>-87</v>
      </c>
      <c r="J18" s="5">
        <f t="shared" si="4"/>
        <v>-5.2095808383233536E-2</v>
      </c>
      <c r="K18" s="3">
        <v>1667</v>
      </c>
      <c r="L18" s="4">
        <f t="shared" si="5"/>
        <v>-3</v>
      </c>
      <c r="M18" s="5">
        <f t="shared" si="6"/>
        <v>-1.7964071856287425E-3</v>
      </c>
    </row>
    <row r="19" spans="1:13" x14ac:dyDescent="0.2">
      <c r="A19" s="24" t="s">
        <v>35</v>
      </c>
      <c r="B19" s="25"/>
      <c r="C19" s="25"/>
      <c r="D19" s="26"/>
      <c r="E19" s="25"/>
      <c r="F19" s="26">
        <f>AVERAGE(F6:F18)</f>
        <v>12.307692307692308</v>
      </c>
      <c r="G19" s="27">
        <f t="shared" ref="G19:M19" si="7">AVERAGE(G6:G18)</f>
        <v>5.475058393699426E-3</v>
      </c>
      <c r="H19" s="26"/>
      <c r="I19" s="26">
        <f t="shared" si="7"/>
        <v>-72.692307692307693</v>
      </c>
      <c r="J19" s="27">
        <f t="shared" si="7"/>
        <v>-3.2199971801954635E-2</v>
      </c>
      <c r="K19" s="26"/>
      <c r="L19" s="26">
        <f t="shared" si="7"/>
        <v>-21.53846153846154</v>
      </c>
      <c r="M19" s="27">
        <f t="shared" si="7"/>
        <v>-9.3763323973972568E-3</v>
      </c>
    </row>
    <row r="21" spans="1:13" ht="16" x14ac:dyDescent="0.2">
      <c r="A21" s="23" t="s">
        <v>26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39" x14ac:dyDescent="0.2">
      <c r="A22" s="10" t="s">
        <v>27</v>
      </c>
      <c r="B22" s="1" t="s">
        <v>4</v>
      </c>
      <c r="C22" s="1" t="s">
        <v>5</v>
      </c>
      <c r="D22" s="1" t="s">
        <v>6</v>
      </c>
    </row>
    <row r="23" spans="1:13" x14ac:dyDescent="0.2">
      <c r="A23" s="11" t="s">
        <v>28</v>
      </c>
      <c r="B23" s="12">
        <f>SUMPRODUCT(ABS(F6:F18))/COUNT(F6:F18)</f>
        <v>21.076923076923077</v>
      </c>
      <c r="C23" s="12">
        <f>SUMPRODUCT(ABS(I6:I18))/COUNT(I6:I18)</f>
        <v>72.692307692307693</v>
      </c>
      <c r="D23" s="12">
        <f>SUMPRODUCT(ABS(L6:L18))/COUNT(L6:L18)</f>
        <v>21.53846153846154</v>
      </c>
    </row>
    <row r="24" spans="1:13" x14ac:dyDescent="0.2">
      <c r="A24" s="11" t="s">
        <v>29</v>
      </c>
      <c r="B24" s="13">
        <f>SUMPRODUCT(ABS(G6:G18))/COUNT(G6:G18)</f>
        <v>9.407659760547896E-3</v>
      </c>
      <c r="C24" s="13">
        <f>SUMPRODUCT(ABS(J6:J18))/COUNT(J6:J18)</f>
        <v>3.2199971801954635E-2</v>
      </c>
      <c r="D24" s="13">
        <f>SUMPRODUCT(ABS(M6:M18))/COUNT(M6:M18)</f>
        <v>9.3763323973972568E-3</v>
      </c>
    </row>
    <row r="25" spans="1:13" x14ac:dyDescent="0.2">
      <c r="A25" s="11" t="s">
        <v>30</v>
      </c>
      <c r="B25" s="13">
        <f>1-B24</f>
        <v>0.99059234023945208</v>
      </c>
      <c r="C25" s="13">
        <f>1-C24</f>
        <v>0.96780002819804534</v>
      </c>
      <c r="D25" s="13">
        <f>1-D24</f>
        <v>0.99062366760260279</v>
      </c>
    </row>
    <row r="26" spans="1:13" x14ac:dyDescent="0.2">
      <c r="A26" s="11" t="s">
        <v>31</v>
      </c>
      <c r="B26" s="12">
        <f>MAX(MAX(F6:F18),-MIN(F6:F18))</f>
        <v>32</v>
      </c>
      <c r="C26" s="12">
        <f>MAX(MAX(I6:I18),-MIN(I6:I18))</f>
        <v>87</v>
      </c>
      <c r="D26" s="12">
        <f>MAX(MAX(L6:L18),-MIN(L6:L18))</f>
        <v>51</v>
      </c>
    </row>
    <row r="27" spans="1:13" x14ac:dyDescent="0.2">
      <c r="A27" s="11" t="s">
        <v>32</v>
      </c>
      <c r="B27" s="14">
        <f>AVERAGE(F6:F18)</f>
        <v>12.307692307692308</v>
      </c>
      <c r="C27" s="14">
        <f>AVERAGE(I6:I18)</f>
        <v>-72.692307692307693</v>
      </c>
      <c r="D27" s="14">
        <f>AVERAGE(L6:L18)</f>
        <v>-21.53846153846154</v>
      </c>
    </row>
    <row r="28" spans="1:13" x14ac:dyDescent="0.2">
      <c r="A28" s="11" t="s">
        <v>33</v>
      </c>
      <c r="B28" s="15">
        <f>SUMPRODUCT((ABS(G6:G18)&lt;=0.01)*1)</f>
        <v>7</v>
      </c>
      <c r="C28" s="15">
        <f>SUMPRODUCT((ABS(J6:J18)&lt;=0.01)*1)</f>
        <v>0</v>
      </c>
      <c r="D28" s="15">
        <f>SUMPRODUCT((ABS(M6:M18)&lt;=0.01)*1)</f>
        <v>8</v>
      </c>
    </row>
    <row r="29" spans="1:13" x14ac:dyDescent="0.2">
      <c r="A29" s="11" t="s">
        <v>34</v>
      </c>
      <c r="B29" s="15">
        <f>SUMPRODUCT((ABS(G6:G18)&lt;=0.02)*1)</f>
        <v>13</v>
      </c>
      <c r="C29" s="15">
        <f>SUMPRODUCT((ABS(J6:J18)&lt;=0.02)*1)</f>
        <v>1</v>
      </c>
      <c r="D29" s="15">
        <f>SUMPRODUCT((ABS(M6:M18)&lt;=0.02)*1)</f>
        <v>10</v>
      </c>
    </row>
  </sheetData>
  <mergeCells count="8">
    <mergeCell ref="B4:D4"/>
    <mergeCell ref="H4:J4"/>
    <mergeCell ref="E4:G4"/>
    <mergeCell ref="A21:M21"/>
    <mergeCell ref="A1:M1"/>
    <mergeCell ref="A4:A5"/>
    <mergeCell ref="K4:M4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Đối chiếu mô hình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Duc Trung</cp:lastModifiedBy>
  <dcterms:created xsi:type="dcterms:W3CDTF">2026-07-09T03:57:27Z</dcterms:created>
  <dcterms:modified xsi:type="dcterms:W3CDTF">2026-07-09T04:10:13Z</dcterms:modified>
</cp:coreProperties>
</file>